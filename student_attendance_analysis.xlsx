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Downloads\"/>
    </mc:Choice>
  </mc:AlternateContent>
  <xr:revisionPtr revIDLastSave="0" documentId="13_ncr:1_{3EC0DD49-16ED-4369-8825-7D401BF01788}" xr6:coauthVersionLast="47" xr6:coauthVersionMax="47" xr10:uidLastSave="{00000000-0000-0000-0000-000000000000}"/>
  <bookViews>
    <workbookView xWindow="-108" yWindow="-108" windowWidth="23256" windowHeight="12456" xr2:uid="{30B6578A-66A1-46EA-A657-EFA85E89F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J50" i="1"/>
  <c r="J49" i="1"/>
  <c r="J48" i="1"/>
  <c r="J47" i="1"/>
  <c r="J46" i="1"/>
  <c r="L48" i="1"/>
  <c r="L47" i="1"/>
  <c r="L46" i="1"/>
  <c r="L45" i="1"/>
  <c r="E49" i="1"/>
  <c r="E47" i="1"/>
  <c r="E46" i="1"/>
  <c r="I46" i="1" s="1"/>
  <c r="G50" i="1"/>
  <c r="E50" i="1"/>
  <c r="I50" i="1" s="1"/>
  <c r="G49" i="1"/>
  <c r="G48" i="1"/>
  <c r="G46" i="1"/>
  <c r="E48" i="1"/>
  <c r="M45" i="1" l="1"/>
  <c r="I47" i="1"/>
  <c r="I48" i="1"/>
  <c r="I49" i="1"/>
</calcChain>
</file>

<file path=xl/sharedStrings.xml><?xml version="1.0" encoding="utf-8"?>
<sst xmlns="http://schemas.openxmlformats.org/spreadsheetml/2006/main" count="217" uniqueCount="60">
  <si>
    <t>Trade</t>
  </si>
  <si>
    <t>Name</t>
  </si>
  <si>
    <t>Sr No</t>
  </si>
  <si>
    <t>Student Name</t>
  </si>
  <si>
    <t xml:space="preserve">                Student Name</t>
  </si>
  <si>
    <t>StaRt Date:</t>
  </si>
  <si>
    <t>End Date:</t>
  </si>
  <si>
    <t>Mentor:</t>
  </si>
  <si>
    <t>A.mentor</t>
  </si>
  <si>
    <t>Total Marks</t>
  </si>
  <si>
    <t>Attendance</t>
  </si>
  <si>
    <t>Result</t>
  </si>
  <si>
    <t>Weekly Test-1</t>
  </si>
  <si>
    <t>Weekly Test-2</t>
  </si>
  <si>
    <t>Weekly Test-3</t>
  </si>
  <si>
    <t>Weekly Test-4</t>
  </si>
  <si>
    <t xml:space="preserve"> Attendance</t>
  </si>
  <si>
    <t xml:space="preserve">  Result</t>
  </si>
  <si>
    <t>Present</t>
  </si>
  <si>
    <t>Absent</t>
  </si>
  <si>
    <t>WeeklyTest</t>
  </si>
  <si>
    <t>Google Link</t>
  </si>
  <si>
    <t>Date</t>
  </si>
  <si>
    <t>No of Students</t>
  </si>
  <si>
    <t>Total Students</t>
  </si>
  <si>
    <t>Performance</t>
  </si>
  <si>
    <t>Test</t>
  </si>
  <si>
    <t>Average</t>
  </si>
  <si>
    <t>Weekly Test-5</t>
  </si>
  <si>
    <t>Marks</t>
  </si>
  <si>
    <t>Aarav Mehta</t>
  </si>
  <si>
    <t>Vivaan Shah</t>
  </si>
  <si>
    <t>Aditya Patel</t>
  </si>
  <si>
    <t>Krishna Desai</t>
  </si>
  <si>
    <t>Rohan Joshi</t>
  </si>
  <si>
    <t>Yash Trivedi</t>
  </si>
  <si>
    <t>Dhruv Bhatt</t>
  </si>
  <si>
    <t>Kunal Parmar</t>
  </si>
  <si>
    <t>Harsh Vyas</t>
  </si>
  <si>
    <t>Raj Malhotra</t>
  </si>
  <si>
    <t>Arjun Nair</t>
  </si>
  <si>
    <t>Siddharth Jain</t>
  </si>
  <si>
    <t>Manav Kapoor</t>
  </si>
  <si>
    <t>Ishaan Verma</t>
  </si>
  <si>
    <t>Aryan Gupta</t>
  </si>
  <si>
    <t>Neel Shah</t>
  </si>
  <si>
    <t>Tushar Patel</t>
  </si>
  <si>
    <t>Omkar Kulkarni</t>
  </si>
  <si>
    <t>Devansh Singh</t>
  </si>
  <si>
    <t>Kartik Iyer</t>
  </si>
  <si>
    <t>Pranav Mishra</t>
  </si>
  <si>
    <t>Ankit Sharma</t>
  </si>
  <si>
    <t>Rahul Das</t>
  </si>
  <si>
    <t>Saurabh Yadav</t>
  </si>
  <si>
    <t>Nikhil Reddy</t>
  </si>
  <si>
    <t>Aakash Sharma</t>
  </si>
  <si>
    <t>Rohit Verma</t>
  </si>
  <si>
    <t>Sanjay Gupta</t>
  </si>
  <si>
    <t>Vivek Pandey</t>
  </si>
  <si>
    <t>Amit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</si>
</sst>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26"/>
      <color rgb="FFC00000"/>
      <name val="Calibri"/>
      <family val="2"/>
      <scheme val="minor"/>
    </font>
    <font>
      <sz val="28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rgb="FFFFCC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3" borderId="1" xfId="0" applyFill="1" applyBorder="1"/>
    <xf numFmtId="0" fontId="10" fillId="3" borderId="1" xfId="0" applyFont="1" applyFill="1" applyBorder="1"/>
    <xf numFmtId="0" fontId="10" fillId="2" borderId="1" xfId="0" applyFont="1" applyFill="1" applyBorder="1"/>
    <xf numFmtId="0" fontId="3" fillId="4" borderId="1" xfId="0" applyFont="1" applyFill="1" applyBorder="1"/>
    <xf numFmtId="0" fontId="3" fillId="4" borderId="3" xfId="0" applyFont="1" applyFill="1" applyBorder="1" applyAlignment="1">
      <alignment horizontal="center"/>
    </xf>
    <xf numFmtId="0" fontId="11" fillId="4" borderId="1" xfId="0" applyFont="1" applyFill="1" applyBorder="1"/>
    <xf numFmtId="14" fontId="0" fillId="3" borderId="1" xfId="0" applyNumberFormat="1" applyFill="1" applyBorder="1"/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3" borderId="1" xfId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Attendence Chart</a:t>
            </a:r>
          </a:p>
        </c:rich>
      </c:tx>
      <c:layout>
        <c:manualLayout>
          <c:xMode val="edge"/>
          <c:yMode val="edge"/>
          <c:x val="0.291659667541557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Sheet1!$E$45</c:f>
              <c:strCache>
                <c:ptCount val="1"/>
                <c:pt idx="0">
                  <c:v>Present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Sheet1!$E$46:$E$50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24</c:v>
                </c:pt>
                <c:pt idx="3">
                  <c:v>28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4-483E-935E-F88455C570CC}"/>
            </c:ext>
          </c:extLst>
        </c:ser>
        <c:ser>
          <c:idx val="2"/>
          <c:order val="2"/>
          <c:tx>
            <c:strRef>
              <c:f>Sheet1!$G$45</c:f>
              <c:strCache>
                <c:ptCount val="1"/>
                <c:pt idx="0">
                  <c:v>Absent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Sheet1!$G$46:$G$50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4-483E-935E-F88455C570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4837695"/>
        <c:axId val="15948564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8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hade val="8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shade val="8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Sheet1!$F$46:$F$50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594-483E-935E-F88455C570C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tint val="58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tint val="58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tint val="58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Sheet1!$H$46:$H$50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94-483E-935E-F88455C570CC}"/>
                  </c:ext>
                </c:extLst>
              </c15:ser>
            </c15:filteredBarSeries>
          </c:ext>
        </c:extLst>
      </c:barChart>
      <c:catAx>
        <c:axId val="159483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56415"/>
        <c:crosses val="autoZero"/>
        <c:auto val="1"/>
        <c:lblAlgn val="ctr"/>
        <c:lblOffset val="100"/>
        <c:noMultiLvlLbl val="0"/>
      </c:catAx>
      <c:valAx>
        <c:axId val="15948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Present-Absent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3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5E-2"/>
          <c:y val="0.17485949282919688"/>
          <c:w val="0.89022462817147852"/>
          <c:h val="0.70888659229438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Sheet1!$J$42</c:f>
              <c:strCache>
                <c:ptCount val="1"/>
                <c:pt idx="0">
                  <c:v>Performance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Sheet1!$B$43:$B$50</c:f>
              <c:numCache>
                <c:formatCode>General</c:formatCode>
                <c:ptCount val="8"/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xVal>
          <c:yVal>
            <c:numRef>
              <c:f>Sheet1!$J$43:$J$50</c:f>
              <c:numCache>
                <c:formatCode>General</c:formatCode>
                <c:ptCount val="8"/>
                <c:pt idx="3" formatCode="0%">
                  <c:v>0.51666666666666672</c:v>
                </c:pt>
                <c:pt idx="4" formatCode="0%">
                  <c:v>0.51666666666666672</c:v>
                </c:pt>
                <c:pt idx="5" formatCode="0%">
                  <c:v>0.51666666666666672</c:v>
                </c:pt>
                <c:pt idx="6" formatCode="0%">
                  <c:v>0.51666666666666672</c:v>
                </c:pt>
                <c:pt idx="7" formatCode="0%">
                  <c:v>0.6166666666666667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8-4BC7-80AA-DB5AC3AEC6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39773071"/>
        <c:axId val="1539798031"/>
      </c:scatterChart>
      <c:valAx>
        <c:axId val="153977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798031"/>
        <c:crossesAt val="0"/>
        <c:crossBetween val="midCat"/>
      </c:valAx>
      <c:valAx>
        <c:axId val="15397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77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Sheet1!$L$43:$L$44</c:f>
              <c:strCache>
                <c:ptCount val="2"/>
                <c:pt idx="0">
                  <c:v>Manav Kapoor</c:v>
                </c:pt>
                <c:pt idx="1">
                  <c:v>Marks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Sheet1!$K$45:$K$48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Sheet1!$L$45:$L$48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2-459C-8C7E-45B9F8728A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4842495"/>
        <c:axId val="1594855455"/>
      </c:lineChart>
      <c:catAx>
        <c:axId val="159484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55455"/>
        <c:crosses val="autoZero"/>
        <c:auto val="1"/>
        <c:lblAlgn val="ctr"/>
        <c:lblOffset val="100"/>
        <c:noMultiLvlLbl val="0"/>
      </c:catAx>
      <c:valAx>
        <c:axId val="15948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354724</xdr:colOff>
      <xdr:row>0</xdr:row>
      <xdr:rowOff>154352</xdr:rowOff>
    </xdr:from>
    <xdr:to>
      <xdr:col>28</xdr:col>
      <xdr:colOff>170793</xdr:colOff>
      <xdr:row>14</xdr:row>
      <xdr:rowOff>105546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6EE06-51F7-98DA-6217-CEDEDE608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103930</xdr:colOff>
      <xdr:row>15</xdr:row>
      <xdr:rowOff>131613</xdr:rowOff>
    </xdr:from>
    <xdr:to>
      <xdr:col>30</xdr:col>
      <xdr:colOff>128257</xdr:colOff>
      <xdr:row>35</xdr:row>
      <xdr:rowOff>34027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53469C-1C75-73D8-C1DA-606411589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58665</xdr:colOff>
      <xdr:row>0</xdr:row>
      <xdr:rowOff>174254</xdr:rowOff>
    </xdr:from>
    <xdr:to>
      <xdr:col>20</xdr:col>
      <xdr:colOff>328448</xdr:colOff>
      <xdr:row>14</xdr:row>
      <xdr:rowOff>122587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12E8E2-1D84-2191-CC57-2372CD490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154E-4801-4E42-83B7-1A1B9992EC5D}">
  <dimension ref="B2:N53"/>
  <sheetViews>
    <sheetView tabSelected="1" zoomScale="49" zoomScaleNormal="100" workbookViewId="0">
      <selection activeCell="U44" sqref="U44"/>
    </sheetView>
  </sheetViews>
  <sheetFormatPr defaultRowHeight="14.4" x14ac:dyDescent="0.3"/>
  <cols>
    <col min="2" max="2" width="13.44140625" customWidth="1"/>
    <col min="3" max="3" width="32.5546875" customWidth="1"/>
    <col min="4" max="4" width="19.33203125" customWidth="1"/>
    <col min="5" max="5" width="14.44140625" customWidth="1"/>
    <col min="6" max="6" width="14.77734375" customWidth="1"/>
    <col min="7" max="7" width="14.109375" customWidth="1"/>
    <col min="8" max="8" width="16.21875" customWidth="1"/>
    <col min="9" max="9" width="18.6640625" customWidth="1"/>
    <col min="10" max="10" width="20.33203125" customWidth="1"/>
    <col min="11" max="11" width="16.88671875" customWidth="1"/>
    <col min="12" max="12" width="14.6640625" customWidth="1"/>
    <col min="13" max="13" width="18" customWidth="1"/>
    <col min="14" max="14" width="14.44140625" customWidth="1"/>
    <col min="15" max="15" width="10.88671875" customWidth="1"/>
  </cols>
  <sheetData>
    <row r="2" spans="2:14" ht="19.8" x14ac:dyDescent="0.4">
      <c r="B2" s="12" t="s">
        <v>0</v>
      </c>
      <c r="C2" s="12" t="s">
        <v>1</v>
      </c>
      <c r="D2" s="6" t="s">
        <v>5</v>
      </c>
      <c r="E2" s="6"/>
      <c r="F2" s="6" t="s">
        <v>7</v>
      </c>
      <c r="G2" s="12"/>
      <c r="H2" s="12"/>
      <c r="I2" s="12"/>
      <c r="J2" s="12"/>
      <c r="K2" s="12"/>
      <c r="L2" s="12"/>
      <c r="M2" s="12"/>
      <c r="N2" s="12"/>
    </row>
    <row r="3" spans="2:14" ht="19.8" x14ac:dyDescent="0.4">
      <c r="B3" s="12"/>
      <c r="C3" s="12"/>
      <c r="D3" s="6" t="s">
        <v>6</v>
      </c>
      <c r="E3" s="6"/>
      <c r="F3" s="6" t="s">
        <v>8</v>
      </c>
      <c r="G3" s="12"/>
      <c r="H3" s="12"/>
      <c r="I3" s="12"/>
      <c r="J3" s="12"/>
      <c r="K3" s="12"/>
      <c r="L3" s="12"/>
      <c r="M3" s="12"/>
      <c r="N3" s="12"/>
    </row>
    <row r="4" spans="2:14" ht="19.8" x14ac:dyDescent="0.4">
      <c r="B4" s="12"/>
      <c r="C4" s="12"/>
      <c r="D4" s="12" t="s">
        <v>9</v>
      </c>
      <c r="E4" s="12" t="s">
        <v>12</v>
      </c>
      <c r="F4" s="12"/>
      <c r="G4" s="12" t="s">
        <v>13</v>
      </c>
      <c r="H4" s="12"/>
      <c r="I4" s="12" t="s">
        <v>14</v>
      </c>
      <c r="J4" s="12"/>
      <c r="K4" s="12" t="s">
        <v>15</v>
      </c>
      <c r="L4" s="12"/>
      <c r="M4" s="12" t="s">
        <v>28</v>
      </c>
      <c r="N4" s="12"/>
    </row>
    <row r="5" spans="2:14" ht="19.8" x14ac:dyDescent="0.4">
      <c r="B5" s="6" t="s">
        <v>2</v>
      </c>
      <c r="C5" s="6" t="s">
        <v>4</v>
      </c>
      <c r="D5" s="12"/>
      <c r="E5" s="6" t="s">
        <v>10</v>
      </c>
      <c r="F5" s="6" t="s">
        <v>11</v>
      </c>
      <c r="G5" s="6" t="s">
        <v>10</v>
      </c>
      <c r="H5" s="6" t="s">
        <v>11</v>
      </c>
      <c r="I5" s="6" t="s">
        <v>10</v>
      </c>
      <c r="J5" s="6" t="s">
        <v>11</v>
      </c>
      <c r="K5" s="6" t="s">
        <v>10</v>
      </c>
      <c r="L5" s="6" t="s">
        <v>17</v>
      </c>
      <c r="M5" s="6" t="s">
        <v>16</v>
      </c>
      <c r="N5" s="6" t="s">
        <v>17</v>
      </c>
    </row>
    <row r="6" spans="2:14" x14ac:dyDescent="0.3">
      <c r="B6" s="2">
        <v>1</v>
      </c>
      <c r="C6" s="3" t="s">
        <v>30</v>
      </c>
      <c r="D6" s="8">
        <v>30</v>
      </c>
      <c r="E6" s="2" t="s">
        <v>18</v>
      </c>
      <c r="F6" s="8">
        <v>3</v>
      </c>
      <c r="G6" s="2" t="s">
        <v>18</v>
      </c>
      <c r="H6" s="8">
        <v>5</v>
      </c>
      <c r="I6" s="2" t="s">
        <v>18</v>
      </c>
      <c r="J6" s="8">
        <v>16</v>
      </c>
      <c r="K6" s="2" t="s">
        <v>18</v>
      </c>
      <c r="L6" s="8">
        <v>22</v>
      </c>
      <c r="M6" s="2" t="s">
        <v>19</v>
      </c>
      <c r="N6" s="8">
        <v>22</v>
      </c>
    </row>
    <row r="7" spans="2:14" x14ac:dyDescent="0.3">
      <c r="B7" s="2">
        <v>2</v>
      </c>
      <c r="C7" s="3" t="s">
        <v>31</v>
      </c>
      <c r="D7" s="8">
        <v>30</v>
      </c>
      <c r="E7" s="2" t="s">
        <v>18</v>
      </c>
      <c r="F7" s="8">
        <v>25</v>
      </c>
      <c r="G7" s="2" t="s">
        <v>18</v>
      </c>
      <c r="H7" s="8">
        <v>12</v>
      </c>
      <c r="I7" s="2" t="s">
        <v>18</v>
      </c>
      <c r="J7" s="8">
        <v>4</v>
      </c>
      <c r="K7" s="2" t="s">
        <v>18</v>
      </c>
      <c r="L7" s="8">
        <v>1</v>
      </c>
      <c r="M7" s="2" t="s">
        <v>19</v>
      </c>
      <c r="N7" s="8">
        <v>4</v>
      </c>
    </row>
    <row r="8" spans="2:14" x14ac:dyDescent="0.3">
      <c r="B8" s="2">
        <v>3</v>
      </c>
      <c r="C8" s="3" t="s">
        <v>32</v>
      </c>
      <c r="D8" s="8">
        <v>30</v>
      </c>
      <c r="E8" s="2" t="s">
        <v>19</v>
      </c>
      <c r="F8" s="8">
        <v>14</v>
      </c>
      <c r="G8" s="2" t="s">
        <v>18</v>
      </c>
      <c r="H8" s="8">
        <v>27</v>
      </c>
      <c r="I8" s="2" t="s">
        <v>19</v>
      </c>
      <c r="J8" s="8">
        <v>21</v>
      </c>
      <c r="K8" s="2" t="s">
        <v>18</v>
      </c>
      <c r="L8" s="8">
        <v>17</v>
      </c>
      <c r="M8" s="2" t="s">
        <v>19</v>
      </c>
      <c r="N8" s="8">
        <v>26</v>
      </c>
    </row>
    <row r="9" spans="2:14" x14ac:dyDescent="0.3">
      <c r="B9" s="2">
        <v>4</v>
      </c>
      <c r="C9" s="3" t="s">
        <v>33</v>
      </c>
      <c r="D9" s="8">
        <v>30</v>
      </c>
      <c r="E9" s="2" t="s">
        <v>18</v>
      </c>
      <c r="F9" s="8">
        <v>7</v>
      </c>
      <c r="G9" s="2" t="s">
        <v>18</v>
      </c>
      <c r="H9" s="8">
        <v>3</v>
      </c>
      <c r="I9" s="2" t="s">
        <v>18</v>
      </c>
      <c r="J9" s="8">
        <v>9</v>
      </c>
      <c r="K9" s="2" t="s">
        <v>18</v>
      </c>
      <c r="L9" s="8">
        <v>8</v>
      </c>
      <c r="M9" s="2" t="s">
        <v>18</v>
      </c>
      <c r="N9" s="8">
        <v>16</v>
      </c>
    </row>
    <row r="10" spans="2:14" x14ac:dyDescent="0.3">
      <c r="B10" s="2">
        <v>5</v>
      </c>
      <c r="C10" s="3" t="s">
        <v>34</v>
      </c>
      <c r="D10" s="8">
        <v>30</v>
      </c>
      <c r="E10" s="2" t="s">
        <v>18</v>
      </c>
      <c r="F10" s="8">
        <v>18</v>
      </c>
      <c r="G10" s="2" t="s">
        <v>18</v>
      </c>
      <c r="H10" s="8">
        <v>18</v>
      </c>
      <c r="I10" s="2" t="s">
        <v>18</v>
      </c>
      <c r="J10" s="8">
        <v>28</v>
      </c>
      <c r="K10" s="2" t="s">
        <v>18</v>
      </c>
      <c r="L10" s="8">
        <v>29</v>
      </c>
      <c r="M10" s="2" t="s">
        <v>18</v>
      </c>
      <c r="N10" s="8">
        <v>1</v>
      </c>
    </row>
    <row r="11" spans="2:14" x14ac:dyDescent="0.3">
      <c r="B11" s="2">
        <v>6</v>
      </c>
      <c r="C11" s="3" t="s">
        <v>35</v>
      </c>
      <c r="D11" s="8">
        <v>30</v>
      </c>
      <c r="E11" s="2" t="s">
        <v>18</v>
      </c>
      <c r="F11" s="8">
        <v>1</v>
      </c>
      <c r="G11" s="2" t="s">
        <v>18</v>
      </c>
      <c r="H11" s="8">
        <v>9</v>
      </c>
      <c r="I11" s="2" t="s">
        <v>18</v>
      </c>
      <c r="J11" s="8">
        <v>2</v>
      </c>
      <c r="K11" s="2" t="s">
        <v>18</v>
      </c>
      <c r="L11" s="8">
        <v>13</v>
      </c>
      <c r="M11" s="2" t="s">
        <v>18</v>
      </c>
      <c r="N11" s="8">
        <v>15</v>
      </c>
    </row>
    <row r="12" spans="2:14" x14ac:dyDescent="0.3">
      <c r="B12" s="2">
        <v>7</v>
      </c>
      <c r="C12" s="3" t="s">
        <v>36</v>
      </c>
      <c r="D12" s="8">
        <v>30</v>
      </c>
      <c r="E12" s="2" t="s">
        <v>18</v>
      </c>
      <c r="F12" s="8">
        <v>29</v>
      </c>
      <c r="G12" s="2" t="s">
        <v>19</v>
      </c>
      <c r="H12" s="8">
        <v>24</v>
      </c>
      <c r="I12" s="2" t="s">
        <v>18</v>
      </c>
      <c r="J12" s="8">
        <v>14</v>
      </c>
      <c r="K12" s="2" t="s">
        <v>18</v>
      </c>
      <c r="L12" s="8">
        <v>4</v>
      </c>
      <c r="M12" s="2" t="s">
        <v>18</v>
      </c>
      <c r="N12" s="8">
        <v>25</v>
      </c>
    </row>
    <row r="13" spans="2:14" x14ac:dyDescent="0.3">
      <c r="B13" s="2">
        <v>8</v>
      </c>
      <c r="C13" s="3" t="s">
        <v>37</v>
      </c>
      <c r="D13" s="8">
        <v>30</v>
      </c>
      <c r="E13" s="2" t="s">
        <v>18</v>
      </c>
      <c r="F13" s="8">
        <v>12</v>
      </c>
      <c r="G13" s="2" t="s">
        <v>18</v>
      </c>
      <c r="H13" s="8">
        <v>1</v>
      </c>
      <c r="I13" s="2" t="s">
        <v>18</v>
      </c>
      <c r="J13" s="8">
        <v>25</v>
      </c>
      <c r="K13" s="2" t="s">
        <v>19</v>
      </c>
      <c r="L13" s="8">
        <v>26</v>
      </c>
      <c r="M13" s="2" t="s">
        <v>18</v>
      </c>
      <c r="N13" s="8">
        <v>28</v>
      </c>
    </row>
    <row r="14" spans="2:14" x14ac:dyDescent="0.3">
      <c r="B14" s="2">
        <v>9</v>
      </c>
      <c r="C14" s="3" t="s">
        <v>38</v>
      </c>
      <c r="D14" s="8">
        <v>30</v>
      </c>
      <c r="E14" s="2" t="s">
        <v>19</v>
      </c>
      <c r="F14" s="8">
        <v>6</v>
      </c>
      <c r="G14" s="2" t="s">
        <v>18</v>
      </c>
      <c r="H14" s="8">
        <v>30</v>
      </c>
      <c r="I14" s="2" t="s">
        <v>18</v>
      </c>
      <c r="J14" s="8">
        <v>7</v>
      </c>
      <c r="K14" s="2" t="s">
        <v>18</v>
      </c>
      <c r="L14" s="8">
        <v>10</v>
      </c>
      <c r="M14" s="2" t="s">
        <v>19</v>
      </c>
      <c r="N14" s="8">
        <v>24</v>
      </c>
    </row>
    <row r="15" spans="2:14" x14ac:dyDescent="0.3">
      <c r="B15" s="2">
        <v>10</v>
      </c>
      <c r="C15" s="3" t="s">
        <v>39</v>
      </c>
      <c r="D15" s="8">
        <v>30</v>
      </c>
      <c r="E15" s="2" t="s">
        <v>19</v>
      </c>
      <c r="F15" s="8">
        <v>23</v>
      </c>
      <c r="G15" s="2" t="s">
        <v>18</v>
      </c>
      <c r="H15" s="8">
        <v>14</v>
      </c>
      <c r="I15" s="2" t="s">
        <v>18</v>
      </c>
      <c r="J15" s="8">
        <v>30</v>
      </c>
      <c r="K15" s="2" t="s">
        <v>18</v>
      </c>
      <c r="L15" s="8">
        <v>19</v>
      </c>
      <c r="M15" s="2" t="s">
        <v>18</v>
      </c>
      <c r="N15" s="8">
        <v>29</v>
      </c>
    </row>
    <row r="16" spans="2:14" x14ac:dyDescent="0.3">
      <c r="B16" s="2">
        <v>11</v>
      </c>
      <c r="C16" s="3" t="s">
        <v>40</v>
      </c>
      <c r="D16" s="8">
        <v>30</v>
      </c>
      <c r="E16" s="2" t="s">
        <v>18</v>
      </c>
      <c r="F16" s="8">
        <v>10</v>
      </c>
      <c r="G16" s="2" t="s">
        <v>18</v>
      </c>
      <c r="H16" s="8">
        <v>7</v>
      </c>
      <c r="I16" s="2" t="s">
        <v>18</v>
      </c>
      <c r="J16" s="8">
        <v>11</v>
      </c>
      <c r="K16" s="2" t="s">
        <v>18</v>
      </c>
      <c r="L16" s="8">
        <v>6</v>
      </c>
      <c r="M16" s="2" t="s">
        <v>18</v>
      </c>
      <c r="N16" s="8">
        <v>27</v>
      </c>
    </row>
    <row r="17" spans="2:14" x14ac:dyDescent="0.3">
      <c r="B17" s="2">
        <v>12</v>
      </c>
      <c r="C17" s="3" t="s">
        <v>41</v>
      </c>
      <c r="D17" s="8">
        <v>30</v>
      </c>
      <c r="E17" s="2" t="s">
        <v>19</v>
      </c>
      <c r="F17" s="8">
        <v>27</v>
      </c>
      <c r="G17" s="2" t="s">
        <v>18</v>
      </c>
      <c r="H17" s="8">
        <v>22</v>
      </c>
      <c r="I17" s="2" t="s">
        <v>19</v>
      </c>
      <c r="J17" s="8">
        <v>18</v>
      </c>
      <c r="K17" s="2" t="s">
        <v>18</v>
      </c>
      <c r="L17" s="8">
        <v>24</v>
      </c>
      <c r="M17" s="2" t="s">
        <v>18</v>
      </c>
      <c r="N17" s="8">
        <v>11</v>
      </c>
    </row>
    <row r="18" spans="2:14" x14ac:dyDescent="0.3">
      <c r="B18" s="2">
        <v>13</v>
      </c>
      <c r="C18" s="3" t="s">
        <v>42</v>
      </c>
      <c r="D18" s="8">
        <v>30</v>
      </c>
      <c r="E18" s="2" t="s">
        <v>18</v>
      </c>
      <c r="F18" s="8">
        <v>5</v>
      </c>
      <c r="G18" s="2" t="s">
        <v>18</v>
      </c>
      <c r="H18" s="8">
        <v>11</v>
      </c>
      <c r="I18" s="2" t="s">
        <v>18</v>
      </c>
      <c r="J18" s="8">
        <v>6</v>
      </c>
      <c r="K18" s="2" t="s">
        <v>18</v>
      </c>
      <c r="L18" s="8">
        <v>15</v>
      </c>
      <c r="M18" s="2" t="s">
        <v>18</v>
      </c>
      <c r="N18" s="8">
        <v>19</v>
      </c>
    </row>
    <row r="19" spans="2:14" x14ac:dyDescent="0.3">
      <c r="B19" s="2">
        <v>14</v>
      </c>
      <c r="C19" s="3" t="s">
        <v>43</v>
      </c>
      <c r="D19" s="8">
        <v>30</v>
      </c>
      <c r="E19" s="2" t="s">
        <v>18</v>
      </c>
      <c r="F19" s="8">
        <v>20</v>
      </c>
      <c r="G19" s="2" t="s">
        <v>19</v>
      </c>
      <c r="H19" s="8">
        <v>6</v>
      </c>
      <c r="I19" s="2" t="s">
        <v>18</v>
      </c>
      <c r="J19" s="8">
        <v>23</v>
      </c>
      <c r="K19" s="2" t="s">
        <v>18</v>
      </c>
      <c r="L19" s="8">
        <v>3</v>
      </c>
      <c r="M19" s="2" t="s">
        <v>18</v>
      </c>
      <c r="N19" s="8">
        <v>30</v>
      </c>
    </row>
    <row r="20" spans="2:14" x14ac:dyDescent="0.3">
      <c r="B20" s="2">
        <v>15</v>
      </c>
      <c r="C20" s="3" t="s">
        <v>44</v>
      </c>
      <c r="D20" s="8">
        <v>30</v>
      </c>
      <c r="E20" s="2" t="s">
        <v>18</v>
      </c>
      <c r="F20" s="8">
        <v>8</v>
      </c>
      <c r="G20" s="2" t="s">
        <v>18</v>
      </c>
      <c r="H20" s="8">
        <v>19</v>
      </c>
      <c r="I20" s="2" t="s">
        <v>18</v>
      </c>
      <c r="J20" s="8">
        <v>1</v>
      </c>
      <c r="K20" s="2" t="s">
        <v>18</v>
      </c>
      <c r="L20" s="8">
        <v>30</v>
      </c>
      <c r="M20" s="2" t="s">
        <v>18</v>
      </c>
      <c r="N20" s="8">
        <v>16</v>
      </c>
    </row>
    <row r="21" spans="2:14" x14ac:dyDescent="0.3">
      <c r="B21" s="2">
        <v>16</v>
      </c>
      <c r="C21" s="3" t="s">
        <v>45</v>
      </c>
      <c r="D21" s="8">
        <v>30</v>
      </c>
      <c r="E21" s="2" t="s">
        <v>18</v>
      </c>
      <c r="F21" s="8">
        <v>30</v>
      </c>
      <c r="G21" s="2" t="s">
        <v>18</v>
      </c>
      <c r="H21" s="8">
        <v>28</v>
      </c>
      <c r="I21" s="2" t="s">
        <v>18</v>
      </c>
      <c r="J21" s="8">
        <v>27</v>
      </c>
      <c r="K21" s="2" t="s">
        <v>18</v>
      </c>
      <c r="L21" s="8">
        <v>12</v>
      </c>
      <c r="M21" s="2" t="s">
        <v>18</v>
      </c>
      <c r="N21" s="8">
        <v>29</v>
      </c>
    </row>
    <row r="22" spans="2:14" x14ac:dyDescent="0.3">
      <c r="B22" s="2">
        <v>17</v>
      </c>
      <c r="C22" s="3" t="s">
        <v>46</v>
      </c>
      <c r="D22" s="8">
        <v>30</v>
      </c>
      <c r="E22" s="2" t="s">
        <v>18</v>
      </c>
      <c r="F22" s="8">
        <v>16</v>
      </c>
      <c r="G22" s="2" t="s">
        <v>19</v>
      </c>
      <c r="H22" s="8">
        <v>4</v>
      </c>
      <c r="I22" s="2" t="s">
        <v>18</v>
      </c>
      <c r="J22" s="8">
        <v>13</v>
      </c>
      <c r="K22" s="2" t="s">
        <v>19</v>
      </c>
      <c r="L22" s="8">
        <v>21</v>
      </c>
      <c r="M22" s="2" t="s">
        <v>18</v>
      </c>
      <c r="N22" s="8">
        <v>30</v>
      </c>
    </row>
    <row r="23" spans="2:14" x14ac:dyDescent="0.3">
      <c r="B23" s="2">
        <v>18</v>
      </c>
      <c r="C23" s="3" t="s">
        <v>47</v>
      </c>
      <c r="D23" s="8">
        <v>30</v>
      </c>
      <c r="E23" s="2" t="s">
        <v>18</v>
      </c>
      <c r="F23" s="8">
        <v>4</v>
      </c>
      <c r="G23" s="2" t="s">
        <v>18</v>
      </c>
      <c r="H23" s="8">
        <v>15</v>
      </c>
      <c r="I23" s="2" t="s">
        <v>19</v>
      </c>
      <c r="J23" s="8">
        <v>20</v>
      </c>
      <c r="K23" s="2" t="s">
        <v>18</v>
      </c>
      <c r="L23" s="8">
        <v>7</v>
      </c>
      <c r="M23" s="2" t="s">
        <v>18</v>
      </c>
      <c r="N23" s="8">
        <v>6</v>
      </c>
    </row>
    <row r="24" spans="2:14" x14ac:dyDescent="0.3">
      <c r="B24" s="2">
        <v>19</v>
      </c>
      <c r="C24" s="3" t="s">
        <v>48</v>
      </c>
      <c r="D24" s="8">
        <v>30</v>
      </c>
      <c r="E24" s="2" t="s">
        <v>18</v>
      </c>
      <c r="F24" s="8">
        <v>21</v>
      </c>
      <c r="G24" s="2" t="s">
        <v>18</v>
      </c>
      <c r="H24" s="8">
        <v>21</v>
      </c>
      <c r="I24" s="2" t="s">
        <v>18</v>
      </c>
      <c r="J24" s="8">
        <v>5</v>
      </c>
      <c r="K24" s="2" t="s">
        <v>18</v>
      </c>
      <c r="L24" s="8">
        <v>14</v>
      </c>
      <c r="M24" s="2" t="s">
        <v>18</v>
      </c>
      <c r="N24" s="8">
        <v>30</v>
      </c>
    </row>
    <row r="25" spans="2:14" x14ac:dyDescent="0.3">
      <c r="B25" s="2">
        <v>20</v>
      </c>
      <c r="C25" s="3" t="s">
        <v>49</v>
      </c>
      <c r="D25" s="8">
        <v>30</v>
      </c>
      <c r="E25" s="2" t="s">
        <v>18</v>
      </c>
      <c r="F25" s="8">
        <v>11</v>
      </c>
      <c r="G25" s="2" t="s">
        <v>18</v>
      </c>
      <c r="H25" s="8">
        <v>10</v>
      </c>
      <c r="I25" s="2" t="s">
        <v>18</v>
      </c>
      <c r="J25" s="8">
        <v>12</v>
      </c>
      <c r="K25" s="2" t="s">
        <v>18</v>
      </c>
      <c r="L25" s="8">
        <v>28</v>
      </c>
      <c r="M25" s="2" t="s">
        <v>18</v>
      </c>
      <c r="N25" s="8">
        <v>19</v>
      </c>
    </row>
    <row r="26" spans="2:14" x14ac:dyDescent="0.3">
      <c r="B26" s="2">
        <v>21</v>
      </c>
      <c r="C26" s="3" t="s">
        <v>50</v>
      </c>
      <c r="D26" s="8">
        <v>30</v>
      </c>
      <c r="E26" s="2" t="s">
        <v>18</v>
      </c>
      <c r="F26" s="8">
        <v>2</v>
      </c>
      <c r="G26" s="2" t="s">
        <v>18</v>
      </c>
      <c r="H26" s="8">
        <v>2</v>
      </c>
      <c r="I26" s="2" t="s">
        <v>18</v>
      </c>
      <c r="J26" s="8">
        <v>24</v>
      </c>
      <c r="K26" s="2" t="s">
        <v>18</v>
      </c>
      <c r="L26" s="8">
        <v>2</v>
      </c>
      <c r="M26" s="2" t="s">
        <v>18</v>
      </c>
      <c r="N26" s="8">
        <v>3</v>
      </c>
    </row>
    <row r="27" spans="2:14" x14ac:dyDescent="0.3">
      <c r="B27" s="2">
        <v>22</v>
      </c>
      <c r="C27" s="3" t="s">
        <v>51</v>
      </c>
      <c r="D27" s="8">
        <v>30</v>
      </c>
      <c r="E27" s="2" t="s">
        <v>18</v>
      </c>
      <c r="F27" s="8">
        <v>19</v>
      </c>
      <c r="G27" s="2" t="s">
        <v>18</v>
      </c>
      <c r="H27" s="8">
        <v>25</v>
      </c>
      <c r="I27" s="2" t="s">
        <v>18</v>
      </c>
      <c r="J27" s="8">
        <v>3</v>
      </c>
      <c r="K27" s="2" t="s">
        <v>18</v>
      </c>
      <c r="L27" s="8">
        <v>18</v>
      </c>
      <c r="M27" s="2" t="s">
        <v>18</v>
      </c>
      <c r="N27" s="8">
        <v>9</v>
      </c>
    </row>
    <row r="28" spans="2:14" x14ac:dyDescent="0.3">
      <c r="B28" s="2">
        <v>23</v>
      </c>
      <c r="C28" s="3" t="s">
        <v>52</v>
      </c>
      <c r="D28" s="8">
        <v>30</v>
      </c>
      <c r="E28" s="2" t="s">
        <v>18</v>
      </c>
      <c r="F28" s="8">
        <v>28</v>
      </c>
      <c r="G28" s="2" t="s">
        <v>18</v>
      </c>
      <c r="H28" s="8">
        <v>17</v>
      </c>
      <c r="I28" s="2" t="s">
        <v>18</v>
      </c>
      <c r="J28" s="8">
        <v>29</v>
      </c>
      <c r="K28" s="2" t="s">
        <v>18</v>
      </c>
      <c r="L28" s="8">
        <v>25</v>
      </c>
      <c r="M28" s="2" t="s">
        <v>18</v>
      </c>
      <c r="N28" s="8">
        <v>21</v>
      </c>
    </row>
    <row r="29" spans="2:14" x14ac:dyDescent="0.3">
      <c r="B29" s="2">
        <v>24</v>
      </c>
      <c r="C29" s="3" t="s">
        <v>53</v>
      </c>
      <c r="D29" s="8">
        <v>30</v>
      </c>
      <c r="E29" s="2" t="s">
        <v>18</v>
      </c>
      <c r="F29" s="8">
        <v>9</v>
      </c>
      <c r="G29" s="2" t="s">
        <v>19</v>
      </c>
      <c r="H29" s="8">
        <v>8</v>
      </c>
      <c r="I29" s="2" t="s">
        <v>18</v>
      </c>
      <c r="J29" s="8">
        <v>10</v>
      </c>
      <c r="K29" s="2" t="s">
        <v>18</v>
      </c>
      <c r="L29" s="8">
        <v>9</v>
      </c>
      <c r="M29" s="2" t="s">
        <v>18</v>
      </c>
      <c r="N29" s="8">
        <v>14</v>
      </c>
    </row>
    <row r="30" spans="2:14" x14ac:dyDescent="0.3">
      <c r="B30" s="2">
        <v>25</v>
      </c>
      <c r="C30" s="3" t="s">
        <v>54</v>
      </c>
      <c r="D30" s="8">
        <v>30</v>
      </c>
      <c r="E30" s="2" t="s">
        <v>19</v>
      </c>
      <c r="F30" s="8">
        <v>24</v>
      </c>
      <c r="G30" s="2" t="s">
        <v>18</v>
      </c>
      <c r="H30" s="8">
        <v>29</v>
      </c>
      <c r="I30" s="2" t="s">
        <v>18</v>
      </c>
      <c r="J30" s="8">
        <v>15</v>
      </c>
      <c r="K30" s="2" t="s">
        <v>18</v>
      </c>
      <c r="L30" s="8">
        <v>16</v>
      </c>
      <c r="M30" s="2" t="s">
        <v>19</v>
      </c>
      <c r="N30" s="8">
        <v>14</v>
      </c>
    </row>
    <row r="31" spans="2:14" x14ac:dyDescent="0.3">
      <c r="B31" s="2">
        <v>26</v>
      </c>
      <c r="C31" s="3" t="s">
        <v>55</v>
      </c>
      <c r="D31" s="8">
        <v>30</v>
      </c>
      <c r="E31" s="2" t="s">
        <v>18</v>
      </c>
      <c r="F31" s="8">
        <v>13</v>
      </c>
      <c r="G31" s="2" t="s">
        <v>18</v>
      </c>
      <c r="H31" s="8">
        <v>13</v>
      </c>
      <c r="I31" s="2" t="s">
        <v>19</v>
      </c>
      <c r="J31" s="8">
        <v>8</v>
      </c>
      <c r="K31" s="2" t="s">
        <v>18</v>
      </c>
      <c r="L31" s="8">
        <v>5</v>
      </c>
      <c r="M31" s="2" t="s">
        <v>19</v>
      </c>
      <c r="N31" s="8">
        <v>30</v>
      </c>
    </row>
    <row r="32" spans="2:14" x14ac:dyDescent="0.3">
      <c r="B32" s="2">
        <v>27</v>
      </c>
      <c r="C32" s="3" t="s">
        <v>56</v>
      </c>
      <c r="D32" s="8">
        <v>30</v>
      </c>
      <c r="E32" s="2" t="s">
        <v>18</v>
      </c>
      <c r="F32" s="8">
        <v>17</v>
      </c>
      <c r="G32" s="2" t="s">
        <v>18</v>
      </c>
      <c r="H32" s="8">
        <v>20</v>
      </c>
      <c r="I32" s="2" t="s">
        <v>19</v>
      </c>
      <c r="J32" s="8">
        <v>22</v>
      </c>
      <c r="K32" s="2" t="s">
        <v>18</v>
      </c>
      <c r="L32" s="8">
        <v>23</v>
      </c>
      <c r="M32" s="2" t="s">
        <v>19</v>
      </c>
      <c r="N32" s="8">
        <v>22</v>
      </c>
    </row>
    <row r="33" spans="2:14" x14ac:dyDescent="0.3">
      <c r="B33" s="2">
        <v>28</v>
      </c>
      <c r="C33" s="3" t="s">
        <v>57</v>
      </c>
      <c r="D33" s="8">
        <v>30</v>
      </c>
      <c r="E33" s="2" t="s">
        <v>18</v>
      </c>
      <c r="F33" s="8">
        <v>22</v>
      </c>
      <c r="G33" s="2" t="s">
        <v>18</v>
      </c>
      <c r="H33" s="8">
        <v>16</v>
      </c>
      <c r="I33" s="2" t="s">
        <v>19</v>
      </c>
      <c r="J33" s="8">
        <v>17</v>
      </c>
      <c r="K33" s="2" t="s">
        <v>18</v>
      </c>
      <c r="L33" s="8">
        <v>11</v>
      </c>
      <c r="M33" s="2" t="s">
        <v>18</v>
      </c>
      <c r="N33" s="8">
        <v>15</v>
      </c>
    </row>
    <row r="34" spans="2:14" x14ac:dyDescent="0.3">
      <c r="B34" s="2">
        <v>29</v>
      </c>
      <c r="C34" s="3" t="s">
        <v>59</v>
      </c>
      <c r="D34" s="8">
        <v>30</v>
      </c>
      <c r="E34" s="2" t="s">
        <v>18</v>
      </c>
      <c r="F34" s="8">
        <v>15</v>
      </c>
      <c r="G34" s="2" t="s">
        <v>18</v>
      </c>
      <c r="H34" s="8">
        <v>23</v>
      </c>
      <c r="I34" s="2" t="s">
        <v>18</v>
      </c>
      <c r="J34" s="8">
        <v>26</v>
      </c>
      <c r="K34" s="2" t="s">
        <v>18</v>
      </c>
      <c r="L34" s="8">
        <v>20</v>
      </c>
      <c r="M34" s="2" t="s">
        <v>18</v>
      </c>
      <c r="N34" s="8">
        <v>6</v>
      </c>
    </row>
    <row r="35" spans="2:14" x14ac:dyDescent="0.3">
      <c r="B35" s="2">
        <v>30</v>
      </c>
      <c r="C35" s="3" t="s">
        <v>58</v>
      </c>
      <c r="D35" s="8">
        <v>30</v>
      </c>
      <c r="E35" s="2" t="s">
        <v>18</v>
      </c>
      <c r="F35" s="8">
        <v>26</v>
      </c>
      <c r="G35" s="2" t="s">
        <v>18</v>
      </c>
      <c r="H35" s="8">
        <v>26</v>
      </c>
      <c r="I35" s="2" t="s">
        <v>18</v>
      </c>
      <c r="J35" s="8">
        <v>19</v>
      </c>
      <c r="K35" s="2" t="s">
        <v>18</v>
      </c>
      <c r="L35" s="8">
        <v>27</v>
      </c>
      <c r="M35" s="2" t="s">
        <v>18</v>
      </c>
      <c r="N35" s="8">
        <v>14</v>
      </c>
    </row>
    <row r="42" spans="2:14" x14ac:dyDescent="0.3">
      <c r="B42" s="13" t="s">
        <v>20</v>
      </c>
      <c r="C42" s="14" t="s">
        <v>21</v>
      </c>
      <c r="D42" s="15" t="s">
        <v>22</v>
      </c>
      <c r="E42" s="28" t="s">
        <v>23</v>
      </c>
      <c r="F42" s="29"/>
      <c r="G42" s="29"/>
      <c r="H42" s="30"/>
      <c r="I42" s="24" t="s">
        <v>24</v>
      </c>
      <c r="J42" s="25" t="s">
        <v>25</v>
      </c>
      <c r="K42" s="26" t="s">
        <v>3</v>
      </c>
      <c r="L42" s="26"/>
      <c r="M42" s="26"/>
    </row>
    <row r="43" spans="2:14" x14ac:dyDescent="0.3">
      <c r="B43" s="13"/>
      <c r="C43" s="14"/>
      <c r="D43" s="15"/>
      <c r="E43" s="31"/>
      <c r="F43" s="32"/>
      <c r="G43" s="32"/>
      <c r="H43" s="33"/>
      <c r="I43" s="24"/>
      <c r="J43" s="25"/>
      <c r="K43" s="20" t="s">
        <v>42</v>
      </c>
      <c r="L43" s="21"/>
      <c r="M43" s="5"/>
    </row>
    <row r="44" spans="2:14" x14ac:dyDescent="0.3">
      <c r="B44" s="13"/>
      <c r="C44" s="14"/>
      <c r="D44" s="15"/>
      <c r="E44" s="34"/>
      <c r="F44" s="35"/>
      <c r="G44" s="35"/>
      <c r="H44" s="36"/>
      <c r="I44" s="24"/>
      <c r="J44" s="25"/>
      <c r="K44" s="4" t="s">
        <v>26</v>
      </c>
      <c r="L44" s="4" t="s">
        <v>29</v>
      </c>
      <c r="M44" s="4" t="s">
        <v>27</v>
      </c>
    </row>
    <row r="45" spans="2:14" ht="14.4" customHeight="1" x14ac:dyDescent="0.6">
      <c r="B45" s="13"/>
      <c r="C45" s="14"/>
      <c r="D45" s="15"/>
      <c r="E45" s="16" t="s">
        <v>18</v>
      </c>
      <c r="F45" s="17"/>
      <c r="G45" s="18" t="s">
        <v>19</v>
      </c>
      <c r="H45" s="19"/>
      <c r="I45" s="24"/>
      <c r="J45" s="25"/>
      <c r="K45" s="9">
        <v>1</v>
      </c>
      <c r="L45" s="9">
        <f>IFERROR(INDEX(F6:F35,MATCH(K43, C6:C35,0)),"")</f>
        <v>5</v>
      </c>
      <c r="M45" s="27">
        <f>AVERAGE(L45:L48)/30</f>
        <v>0.30833333333333335</v>
      </c>
    </row>
    <row r="46" spans="2:14" x14ac:dyDescent="0.3">
      <c r="B46" s="1">
        <v>1</v>
      </c>
      <c r="C46" s="1"/>
      <c r="D46" s="7">
        <v>46078</v>
      </c>
      <c r="E46" s="22">
        <f>COUNTIF(E6:E35,  "Present")</f>
        <v>25</v>
      </c>
      <c r="F46" s="23"/>
      <c r="G46" s="22">
        <f>COUNTIF(E6:E35,  "Absent")</f>
        <v>5</v>
      </c>
      <c r="H46" s="23"/>
      <c r="I46" s="9">
        <f>SUM(E46:G46)</f>
        <v>30</v>
      </c>
      <c r="J46" s="11">
        <f>AVERAGE(F6:F35)/30</f>
        <v>0.51666666666666672</v>
      </c>
      <c r="K46" s="9">
        <v>2</v>
      </c>
      <c r="L46" s="9">
        <f>IFERROR(INDEX(H6:H35,MATCH(K43,C6:C35,0)),"")</f>
        <v>11</v>
      </c>
      <c r="M46" s="27"/>
    </row>
    <row r="47" spans="2:14" x14ac:dyDescent="0.3">
      <c r="B47" s="9">
        <v>2</v>
      </c>
      <c r="C47" s="1"/>
      <c r="D47" s="7">
        <v>46079</v>
      </c>
      <c r="E47" s="22">
        <f>COUNTIF(G6:G35,  "Present")</f>
        <v>26</v>
      </c>
      <c r="F47" s="23"/>
      <c r="G47" s="22">
        <f>COUNTIF(G7:G36,  "Absent")</f>
        <v>4</v>
      </c>
      <c r="H47" s="23"/>
      <c r="I47" s="9">
        <f t="shared" ref="I47:I50" si="0">SUM(E47:G47)</f>
        <v>30</v>
      </c>
      <c r="J47" s="11">
        <f>AVERAGE(H6:H35)/30</f>
        <v>0.51666666666666672</v>
      </c>
      <c r="K47" s="9">
        <v>3</v>
      </c>
      <c r="L47" s="9">
        <f>IFERROR(INDEX(J6:J35,MATCH(K43,C6:C35,0)),"")</f>
        <v>6</v>
      </c>
      <c r="M47" s="27"/>
    </row>
    <row r="48" spans="2:14" x14ac:dyDescent="0.3">
      <c r="B48" s="9">
        <v>3</v>
      </c>
      <c r="C48" s="1"/>
      <c r="D48" s="7">
        <v>46080</v>
      </c>
      <c r="E48" s="22">
        <f>COUNTIF(I6:I35,"Present")</f>
        <v>24</v>
      </c>
      <c r="F48" s="23"/>
      <c r="G48" s="22">
        <f>COUNTIF(I6:I35,  "Absent")</f>
        <v>6</v>
      </c>
      <c r="H48" s="23"/>
      <c r="I48" s="9">
        <f t="shared" si="0"/>
        <v>30</v>
      </c>
      <c r="J48" s="11">
        <f>AVERAGE(J6:J35)/30</f>
        <v>0.51666666666666672</v>
      </c>
      <c r="K48" s="9">
        <v>4</v>
      </c>
      <c r="L48" s="9">
        <f>IFERROR(INDEX(L6:L35,MATCH(K43,C6:C35,0)),"")</f>
        <v>15</v>
      </c>
      <c r="M48" s="27"/>
    </row>
    <row r="49" spans="2:10" ht="14.4" customHeight="1" x14ac:dyDescent="0.3">
      <c r="B49" s="9">
        <v>4</v>
      </c>
      <c r="C49" s="1"/>
      <c r="D49" s="7">
        <v>46081</v>
      </c>
      <c r="E49" s="22">
        <f>COUNTIF(K6:K35,"Present")</f>
        <v>28</v>
      </c>
      <c r="F49" s="23"/>
      <c r="G49" s="22">
        <f>COUNTIF(K6:K35,  "Absent")</f>
        <v>2</v>
      </c>
      <c r="H49" s="23"/>
      <c r="I49" s="9">
        <f t="shared" si="0"/>
        <v>30</v>
      </c>
      <c r="J49" s="11">
        <f>AVERAGE(L6:L35)/30</f>
        <v>0.51666666666666672</v>
      </c>
    </row>
    <row r="50" spans="2:10" ht="14.4" customHeight="1" x14ac:dyDescent="0.3">
      <c r="B50" s="9">
        <v>5</v>
      </c>
      <c r="C50" s="1"/>
      <c r="D50" s="7">
        <v>46082</v>
      </c>
      <c r="E50" s="22">
        <f>COUNTIF(M6:M36,"Present")</f>
        <v>23</v>
      </c>
      <c r="F50" s="23"/>
      <c r="G50" s="22">
        <f>COUNTIF(M6:M35,  "Absent")</f>
        <v>7</v>
      </c>
      <c r="H50" s="23"/>
      <c r="I50" s="9">
        <f t="shared" si="0"/>
        <v>30</v>
      </c>
      <c r="J50" s="11">
        <f>AVERAGE(N6:N35)/30</f>
        <v>0.6166666666666667</v>
      </c>
    </row>
    <row r="51" spans="2:10" ht="14.4" customHeight="1" x14ac:dyDescent="0.3">
      <c r="I51" s="10"/>
    </row>
    <row r="52" spans="2:10" ht="14.4" customHeight="1" x14ac:dyDescent="0.3"/>
    <row r="53" spans="2:10" ht="14.4" customHeight="1" x14ac:dyDescent="0.3"/>
  </sheetData>
  <mergeCells count="32">
    <mergeCell ref="K43:L43"/>
    <mergeCell ref="G49:H49"/>
    <mergeCell ref="G50:H50"/>
    <mergeCell ref="E46:F46"/>
    <mergeCell ref="E47:F47"/>
    <mergeCell ref="E48:F48"/>
    <mergeCell ref="E49:F49"/>
    <mergeCell ref="E50:F50"/>
    <mergeCell ref="G46:H46"/>
    <mergeCell ref="G47:H47"/>
    <mergeCell ref="G48:H48"/>
    <mergeCell ref="I42:I45"/>
    <mergeCell ref="J42:J45"/>
    <mergeCell ref="K42:M42"/>
    <mergeCell ref="M45:M48"/>
    <mergeCell ref="E42:H44"/>
    <mergeCell ref="I2:N3"/>
    <mergeCell ref="B42:B45"/>
    <mergeCell ref="C42:C45"/>
    <mergeCell ref="D42:D45"/>
    <mergeCell ref="B2:B4"/>
    <mergeCell ref="C2:C4"/>
    <mergeCell ref="D4:D5"/>
    <mergeCell ref="E4:F4"/>
    <mergeCell ref="G4:H4"/>
    <mergeCell ref="G2:H2"/>
    <mergeCell ref="G3:H3"/>
    <mergeCell ref="E45:F45"/>
    <mergeCell ref="G45:H45"/>
    <mergeCell ref="I4:J4"/>
    <mergeCell ref="K4:L4"/>
    <mergeCell ref="M4:N4"/>
  </mergeCells>
  <conditionalFormatting sqref="E6:E35">
    <cfRule type="containsText" dxfId="14" priority="16" operator="containsText" text="Present">
      <formula>NOT(ISERROR(SEARCH("Present",E6)))</formula>
    </cfRule>
  </conditionalFormatting>
  <conditionalFormatting sqref="E8:E34">
    <cfRule type="containsText" dxfId="13" priority="15" operator="containsText" text="absent">
      <formula>NOT(ISERROR(SEARCH("absent",E8)))</formula>
    </cfRule>
  </conditionalFormatting>
  <conditionalFormatting sqref="G6:G35">
    <cfRule type="containsText" dxfId="12" priority="14" operator="containsText" text="Present">
      <formula>NOT(ISERROR(SEARCH("Present",G6)))</formula>
    </cfRule>
  </conditionalFormatting>
  <conditionalFormatting sqref="G8">
    <cfRule type="containsText" dxfId="11" priority="13" operator="containsText" text="absent">
      <formula>NOT(ISERROR(SEARCH("absent",G8)))</formula>
    </cfRule>
  </conditionalFormatting>
  <conditionalFormatting sqref="I6:I35">
    <cfRule type="containsText" dxfId="10" priority="22" operator="containsText" text="Present">
      <formula>NOT(ISERROR(SEARCH("Present",I6)))</formula>
    </cfRule>
  </conditionalFormatting>
  <conditionalFormatting sqref="I8">
    <cfRule type="containsText" dxfId="9" priority="17" operator="containsText" text="absent">
      <formula>NOT(ISERROR(SEARCH("absent",I8)))</formula>
    </cfRule>
  </conditionalFormatting>
  <conditionalFormatting sqref="I17">
    <cfRule type="containsText" dxfId="8" priority="8" operator="containsText" text="absent">
      <formula>NOT(ISERROR(SEARCH("absent",I17)))</formula>
    </cfRule>
  </conditionalFormatting>
  <conditionalFormatting sqref="I31:I33">
    <cfRule type="containsText" dxfId="7" priority="7" operator="containsText" text="absent">
      <formula>NOT(ISERROR(SEARCH("absent",I31)))</formula>
    </cfRule>
  </conditionalFormatting>
  <conditionalFormatting sqref="K6:K35">
    <cfRule type="containsText" dxfId="6" priority="6" operator="containsText" text="Present">
      <formula>NOT(ISERROR(SEARCH("Present",K6)))</formula>
    </cfRule>
  </conditionalFormatting>
  <conditionalFormatting sqref="K8:K35">
    <cfRule type="containsText" dxfId="5" priority="5" operator="containsText" text="absent">
      <formula>NOT(ISERROR(SEARCH("absent",K8)))</formula>
    </cfRule>
  </conditionalFormatting>
  <conditionalFormatting sqref="M6:M8">
    <cfRule type="containsText" dxfId="4" priority="3" operator="containsText" text="absent">
      <formula>NOT(ISERROR(SEARCH("absent",M6)))</formula>
    </cfRule>
  </conditionalFormatting>
  <conditionalFormatting sqref="M6:M29">
    <cfRule type="containsText" dxfId="3" priority="4" operator="containsText" text="Present">
      <formula>NOT(ISERROR(SEARCH("Present",M6)))</formula>
    </cfRule>
  </conditionalFormatting>
  <conditionalFormatting sqref="M30:M32">
    <cfRule type="containsText" dxfId="2" priority="1" operator="containsText" text="absent">
      <formula>NOT(ISERROR(SEARCH("absent",M30)))</formula>
    </cfRule>
  </conditionalFormatting>
  <conditionalFormatting sqref="M30:M35">
    <cfRule type="containsText" dxfId="1" priority="2" operator="containsText" text="Present">
      <formula>NOT(ISERROR(SEARCH("Present",M30)))</formula>
    </cfRule>
  </conditionalFormatting>
  <conditionalFormatting sqref="P6">
    <cfRule type="containsText" dxfId="0" priority="19" operator="containsText" text="Absent">
      <formula>NOT(ISERROR(SEARCH("Absent",P6)))</formula>
    </cfRule>
  </conditionalFormatting>
  <dataValidations count="2">
    <dataValidation type="list" allowBlank="1" showInputMessage="1" showErrorMessage="1" sqref="I6:I35 K6:K35 G6:G35 E6:E35 M6:M35" xr:uid="{5828A0BB-11A6-494A-92CD-9B9DD381927D}">
      <formula1>"Absent,Present"</formula1>
    </dataValidation>
    <dataValidation type="list" allowBlank="1" showInputMessage="1" showErrorMessage="1" sqref="K43 M43" xr:uid="{C460B693-6780-4D6C-B40B-2FAE45439E7E}">
      <formula1>$C$6:$C$35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kanjariya</dc:creator>
  <cp:lastModifiedBy>sunil kanjariya</cp:lastModifiedBy>
  <dcterms:created xsi:type="dcterms:W3CDTF">2026-03-20T05:38:19Z</dcterms:created>
  <dcterms:modified xsi:type="dcterms:W3CDTF">2026-07-03T06:04:39Z</dcterms:modified>
</cp:coreProperties>
</file>